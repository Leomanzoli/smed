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ma\Downloads\"/>
    </mc:Choice>
  </mc:AlternateContent>
  <xr:revisionPtr revIDLastSave="0" documentId="13_ncr:1_{C74AF969-7758-4F4B-A996-4517DE43DAD2}" xr6:coauthVersionLast="47" xr6:coauthVersionMax="47" xr10:uidLastSave="{00000000-0000-0000-0000-000000000000}"/>
  <bookViews>
    <workbookView xWindow="-120" yWindow="-120" windowWidth="38640" windowHeight="15720" xr2:uid="{8802B221-6496-4392-8698-7A3D175D8EFC}"/>
  </bookViews>
  <sheets>
    <sheet name="ESTRADA" sheetId="1" r:id="rId1"/>
  </sheets>
  <definedNames>
    <definedName name="_xlnm._FilterDatabase" localSheetId="0" hidden="1">ESTRADA!$B$8:$S$20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Q18" i="1" s="1"/>
  <c r="J18" i="1"/>
  <c r="G13" i="1" l="1"/>
  <c r="K13" i="1"/>
  <c r="K20" i="1"/>
  <c r="G20" i="1"/>
  <c r="Q20" i="1" s="1"/>
  <c r="K19" i="1"/>
  <c r="G19" i="1"/>
  <c r="Q19" i="1" s="1"/>
  <c r="G17" i="1"/>
  <c r="Q17" i="1" s="1"/>
  <c r="K16" i="1"/>
  <c r="G16" i="1"/>
  <c r="Q16" i="1" s="1"/>
  <c r="K15" i="1"/>
  <c r="G15" i="1"/>
  <c r="Q15" i="1" s="1"/>
  <c r="K14" i="1"/>
  <c r="G14" i="1"/>
  <c r="Q14" i="1" s="1"/>
  <c r="K12" i="1"/>
  <c r="G12" i="1"/>
  <c r="Q12" i="1" s="1"/>
  <c r="G11" i="1"/>
  <c r="K11" i="1" s="1"/>
  <c r="G10" i="1"/>
  <c r="Q10" i="1" s="1"/>
  <c r="G9" i="1"/>
  <c r="Q9" i="1" l="1"/>
  <c r="G21" i="1"/>
  <c r="Q13" i="1"/>
  <c r="J13" i="1"/>
  <c r="J10" i="1"/>
  <c r="K17" i="1"/>
  <c r="J16" i="1"/>
  <c r="K9" i="1"/>
  <c r="J19" i="1"/>
  <c r="J12" i="1"/>
  <c r="J9" i="1"/>
  <c r="J14" i="1"/>
  <c r="J17" i="1"/>
  <c r="J11" i="1"/>
  <c r="J15" i="1"/>
  <c r="K10" i="1"/>
  <c r="J20" i="1"/>
  <c r="Q11" i="1"/>
  <c r="P21" i="1"/>
  <c r="Q21" i="1" l="1"/>
  <c r="Q22" i="1" s="1"/>
  <c r="K21" i="1"/>
  <c r="J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Rodrigues Manoel Silva</author>
  </authors>
  <commentList>
    <comment ref="D7" authorId="0" shapeId="0" xr:uid="{42247582-8D55-44C2-B407-519C851D530B}">
      <text>
        <r>
          <rPr>
            <b/>
            <sz val="12"/>
            <color indexed="81"/>
            <rFont val="Segoe UI"/>
            <family val="2"/>
          </rPr>
          <t>Passo 1</t>
        </r>
        <r>
          <rPr>
            <b/>
            <sz val="15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Segoe UI"/>
            <family val="2"/>
          </rPr>
          <t>Documentar as atividades da troca</t>
        </r>
      </text>
    </comment>
    <comment ref="H7" authorId="0" shapeId="0" xr:uid="{3090A5AC-1F9E-4D57-A166-4D795938246D}">
      <text>
        <r>
          <rPr>
            <b/>
            <sz val="12"/>
            <color indexed="81"/>
            <rFont val="Segoe UI"/>
            <family val="2"/>
          </rPr>
          <t>Passo 2 e 3</t>
        </r>
        <r>
          <rPr>
            <b/>
            <sz val="15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Segoe UI"/>
            <family val="2"/>
          </rPr>
          <t>Identificar as atividades internas e externas
Separar as atividades internas e externas</t>
        </r>
      </text>
    </comment>
    <comment ref="L7" authorId="0" shapeId="0" xr:uid="{BC93EED9-20F1-40CA-8D8B-23A5AE26BA4E}">
      <text>
        <r>
          <rPr>
            <b/>
            <sz val="12"/>
            <color indexed="81"/>
            <rFont val="Segoe UI"/>
            <family val="2"/>
          </rPr>
          <t>Passo 6</t>
        </r>
        <r>
          <rPr>
            <b/>
            <sz val="15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Segoe UI"/>
            <family val="2"/>
          </rPr>
          <t>Aplicar análise ECRS (</t>
        </r>
        <r>
          <rPr>
            <b/>
            <sz val="10"/>
            <color indexed="81"/>
            <rFont val="Segoe UI"/>
            <family val="2"/>
          </rPr>
          <t>E</t>
        </r>
        <r>
          <rPr>
            <sz val="10"/>
            <color indexed="81"/>
            <rFont val="Segoe UI"/>
            <family val="2"/>
          </rPr>
          <t xml:space="preserve">liminar, </t>
        </r>
        <r>
          <rPr>
            <b/>
            <sz val="10"/>
            <color indexed="81"/>
            <rFont val="Segoe UI"/>
            <family val="2"/>
          </rPr>
          <t>C</t>
        </r>
        <r>
          <rPr>
            <sz val="10"/>
            <color indexed="81"/>
            <rFont val="Segoe UI"/>
            <family val="2"/>
          </rPr>
          <t xml:space="preserve">ombinar, </t>
        </r>
        <r>
          <rPr>
            <b/>
            <sz val="10"/>
            <color indexed="81"/>
            <rFont val="Segoe UI"/>
            <family val="2"/>
          </rPr>
          <t>R</t>
        </r>
        <r>
          <rPr>
            <sz val="10"/>
            <color indexed="81"/>
            <rFont val="Segoe UI"/>
            <family val="2"/>
          </rPr>
          <t xml:space="preserve">eduzir ou </t>
        </r>
        <r>
          <rPr>
            <b/>
            <sz val="10"/>
            <color indexed="81"/>
            <rFont val="Segoe UI"/>
            <family val="2"/>
          </rPr>
          <t>S</t>
        </r>
        <r>
          <rPr>
            <sz val="10"/>
            <color indexed="81"/>
            <rFont val="Segoe UI"/>
            <family val="2"/>
          </rPr>
          <t>implificar)</t>
        </r>
      </text>
    </comment>
    <comment ref="R7" authorId="0" shapeId="0" xr:uid="{72ED41B7-9A87-47F4-AC98-0E00977EEA0C}">
      <text>
        <r>
          <rPr>
            <b/>
            <sz val="12"/>
            <color indexed="81"/>
            <rFont val="Segoe UI"/>
            <family val="2"/>
          </rPr>
          <t>Passo 8</t>
        </r>
        <r>
          <rPr>
            <b/>
            <sz val="15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Segoe UI"/>
            <family val="2"/>
          </rPr>
          <t>Aplicar kaizens</t>
        </r>
      </text>
    </comment>
    <comment ref="I8" authorId="0" shapeId="0" xr:uid="{2EC384E5-48BB-49EB-B5C1-97D2DA09CDE8}">
      <text>
        <r>
          <rPr>
            <b/>
            <sz val="12"/>
            <color indexed="81"/>
            <rFont val="Segoe UI"/>
            <family val="2"/>
          </rPr>
          <t>Passo 4</t>
        </r>
        <r>
          <rPr>
            <b/>
            <sz val="15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Segoe UI"/>
            <family val="2"/>
          </rPr>
          <t>Transferir as atividades externas para execução antes ou após a troca interna</t>
        </r>
      </text>
    </comment>
  </commentList>
</comments>
</file>

<file path=xl/sharedStrings.xml><?xml version="1.0" encoding="utf-8"?>
<sst xmlns="http://schemas.openxmlformats.org/spreadsheetml/2006/main" count="65" uniqueCount="45">
  <si>
    <t>SMED - Single Minute Exchange of Die</t>
  </si>
  <si>
    <t>Atividade: Roço na ERM</t>
  </si>
  <si>
    <t>Data análise:</t>
  </si>
  <si>
    <t>Elaborador:</t>
  </si>
  <si>
    <t>Revisão:</t>
  </si>
  <si>
    <t>Data da revisão:</t>
  </si>
  <si>
    <t>Tarefa</t>
  </si>
  <si>
    <t>TREINAMENTO</t>
  </si>
  <si>
    <t>Análise I x E</t>
  </si>
  <si>
    <t>Tempo</t>
  </si>
  <si>
    <t>Análise ECRS</t>
  </si>
  <si>
    <t>Ganho estimado</t>
  </si>
  <si>
    <t>Tempo Final</t>
  </si>
  <si>
    <t>Melhoria - Kaizens necessários</t>
  </si>
  <si>
    <t>Descrição</t>
  </si>
  <si>
    <t>Início</t>
  </si>
  <si>
    <t>Fim</t>
  </si>
  <si>
    <t>Interna</t>
  </si>
  <si>
    <t>Externa</t>
  </si>
  <si>
    <t>Interno</t>
  </si>
  <si>
    <t>Externo</t>
  </si>
  <si>
    <t>E</t>
  </si>
  <si>
    <t>C</t>
  </si>
  <si>
    <t>R</t>
  </si>
  <si>
    <t>S</t>
  </si>
  <si>
    <t>Qual?</t>
  </si>
  <si>
    <t>O que é?</t>
  </si>
  <si>
    <t>CHEGADA DA EQUIPE NO CANTEIRO</t>
  </si>
  <si>
    <t>x</t>
  </si>
  <si>
    <t>X</t>
  </si>
  <si>
    <t>Definir apenas 1 momento para tomar café da manhã</t>
  </si>
  <si>
    <t>PREPARAÇÃO DAS CAMINHONETES</t>
  </si>
  <si>
    <t>DESLOCAMENTO ATE A  FRENTE DE SERVIÇO</t>
  </si>
  <si>
    <t>MONTAGEM DA AREA DE VIVENCIA</t>
  </si>
  <si>
    <t>TEMPO OCIOSO EQUIPE</t>
  </si>
  <si>
    <t>MONTAGEM PARE E SIGA</t>
  </si>
  <si>
    <t>ATIVIDADE DE ROÇADA</t>
  </si>
  <si>
    <t>DESLOCAMENTO ATE AREA DE VIVENCIA E SINALIZAÇÃO</t>
  </si>
  <si>
    <t>ALMOÇO</t>
  </si>
  <si>
    <t>SINALIZAÇÃO DA VIA</t>
  </si>
  <si>
    <t>DESMOBILIZAÇÃO E DESLOCAMENTO CANTEIRO</t>
  </si>
  <si>
    <t>Mobilização</t>
  </si>
  <si>
    <t>Task</t>
  </si>
  <si>
    <t>Leonardo Manzoli Stoco</t>
  </si>
  <si>
    <t>Exemplo de Kaizem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</si>
</sst>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h]:mm:ss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HELVETICA"/>
    </font>
    <font>
      <b/>
      <sz val="10"/>
      <color theme="0"/>
      <name val="HELVETICA"/>
    </font>
    <font>
      <b/>
      <sz val="10"/>
      <color theme="1"/>
      <name val="HELVETICA"/>
    </font>
    <font>
      <sz val="10"/>
      <name val="HELVETICA"/>
    </font>
    <font>
      <b/>
      <sz val="10"/>
      <name val="HELVETICA"/>
    </font>
    <font>
      <b/>
      <sz val="10"/>
      <color rgb="FFFF0000"/>
      <name val="HELVETICA"/>
    </font>
    <font>
      <b/>
      <sz val="12"/>
      <color indexed="81"/>
      <name val="Segoe UI"/>
      <family val="2"/>
    </font>
    <font>
      <b/>
      <sz val="15"/>
      <color indexed="81"/>
      <name val="Segoe UI"/>
      <family val="2"/>
    </font>
    <font>
      <sz val="10"/>
      <color indexed="81"/>
      <name val="Segoe UI"/>
      <family val="2"/>
    </font>
    <font>
      <b/>
      <sz val="10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E7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164" fontId="5" fillId="0" borderId="24" xfId="0" applyNumberFormat="1" applyFont="1" applyBorder="1" applyAlignment="1">
      <alignment horizontal="center" vertical="center"/>
    </xf>
    <xf numFmtId="164" fontId="5" fillId="0" borderId="25" xfId="0" applyNumberFormat="1" applyFont="1" applyBorder="1" applyAlignment="1">
      <alignment horizontal="center" vertical="center"/>
    </xf>
    <xf numFmtId="21" fontId="2" fillId="0" borderId="22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2" fillId="4" borderId="24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21" fontId="4" fillId="4" borderId="27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vertical="center" wrapText="1"/>
    </xf>
    <xf numFmtId="0" fontId="2" fillId="2" borderId="28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1" fontId="2" fillId="0" borderId="25" xfId="0" applyNumberFormat="1" applyFont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21" fontId="7" fillId="2" borderId="0" xfId="0" applyNumberFormat="1" applyFont="1" applyFill="1" applyAlignment="1">
      <alignment horizontal="center" vertical="center"/>
    </xf>
    <xf numFmtId="21" fontId="6" fillId="2" borderId="0" xfId="0" applyNumberFormat="1" applyFont="1" applyFill="1" applyAlignment="1">
      <alignment horizontal="center" vertical="center"/>
    </xf>
    <xf numFmtId="166" fontId="6" fillId="2" borderId="29" xfId="0" applyNumberFormat="1" applyFont="1" applyFill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6" fontId="4" fillId="2" borderId="29" xfId="0" applyNumberFormat="1" applyFont="1" applyFill="1" applyBorder="1" applyAlignment="1">
      <alignment horizontal="center" vertical="center"/>
    </xf>
    <xf numFmtId="9" fontId="4" fillId="2" borderId="29" xfId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AABC-8DE2-4A29-99A9-DA3E63D28919}">
  <sheetPr>
    <tabColor rgb="FF007E7A"/>
  </sheetPr>
  <dimension ref="B1:S22"/>
  <sheetViews>
    <sheetView tabSelected="1" zoomScale="90" zoomScaleNormal="90" workbookViewId="0">
      <pane ySplit="8" topLeftCell="A9" activePane="bottomLeft" state="frozen"/>
      <selection activeCell="G11" sqref="G11"/>
      <selection pane="bottomLeft" activeCell="G27" sqref="G27"/>
    </sheetView>
  </sheetViews>
  <sheetFormatPr defaultColWidth="9.140625" defaultRowHeight="12.75" x14ac:dyDescent="0.25"/>
  <cols>
    <col min="1" max="1" width="0.7109375" style="1" customWidth="1"/>
    <col min="2" max="2" width="31.7109375" style="1" bestFit="1" customWidth="1"/>
    <col min="3" max="3" width="5.5703125" style="1" bestFit="1" customWidth="1"/>
    <col min="4" max="4" width="31" style="2" customWidth="1"/>
    <col min="5" max="6" width="10.5703125" style="1" customWidth="1"/>
    <col min="7" max="7" width="12.5703125" style="1" bestFit="1" customWidth="1"/>
    <col min="8" max="9" width="10.28515625" style="1" customWidth="1"/>
    <col min="10" max="10" width="13" style="1" bestFit="1" customWidth="1"/>
    <col min="11" max="11" width="13.5703125" style="1" bestFit="1" customWidth="1"/>
    <col min="12" max="15" width="8.85546875" style="1" customWidth="1"/>
    <col min="16" max="16" width="19.5703125" style="1" customWidth="1"/>
    <col min="17" max="17" width="12.42578125" style="1" bestFit="1" customWidth="1"/>
    <col min="18" max="18" width="19.42578125" style="3" bestFit="1" customWidth="1"/>
    <col min="19" max="19" width="52.5703125" style="1" customWidth="1"/>
    <col min="20" max="20" width="0.7109375" style="1" customWidth="1"/>
    <col min="21" max="16384" width="9.140625" style="1"/>
  </cols>
  <sheetData>
    <row r="1" spans="2:19" ht="3.75" customHeight="1" thickBot="1" x14ac:dyDescent="0.3"/>
    <row r="2" spans="2:19" ht="27.75" customHeight="1" thickBot="1" x14ac:dyDescent="0.3"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</row>
    <row r="3" spans="2:19" ht="18.75" customHeight="1" thickBo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6"/>
      <c r="R3" s="6"/>
      <c r="S3" s="6"/>
    </row>
    <row r="4" spans="2:19" ht="18.75" customHeight="1" x14ac:dyDescent="0.25">
      <c r="B4" s="68" t="s">
        <v>1</v>
      </c>
      <c r="C4" s="69"/>
      <c r="D4" s="69"/>
      <c r="E4" s="69"/>
      <c r="F4" s="69"/>
      <c r="G4" s="70"/>
      <c r="H4" s="50" t="s">
        <v>2</v>
      </c>
      <c r="I4" s="51"/>
      <c r="J4" s="68" t="s">
        <v>3</v>
      </c>
      <c r="K4" s="69"/>
      <c r="L4" s="69"/>
      <c r="M4" s="69"/>
      <c r="N4" s="69"/>
      <c r="O4" s="69"/>
      <c r="P4" s="70"/>
      <c r="Q4" s="74" t="s">
        <v>4</v>
      </c>
      <c r="R4" s="75"/>
      <c r="S4" s="7" t="s">
        <v>5</v>
      </c>
    </row>
    <row r="5" spans="2:19" ht="18.75" customHeight="1" thickBot="1" x14ac:dyDescent="0.3">
      <c r="B5" s="71"/>
      <c r="C5" s="72"/>
      <c r="D5" s="72"/>
      <c r="E5" s="72"/>
      <c r="F5" s="72"/>
      <c r="G5" s="73"/>
      <c r="H5" s="78">
        <v>45953</v>
      </c>
      <c r="I5" s="79"/>
      <c r="J5" s="71" t="s">
        <v>43</v>
      </c>
      <c r="K5" s="72"/>
      <c r="L5" s="72"/>
      <c r="M5" s="72"/>
      <c r="N5" s="72"/>
      <c r="O5" s="72"/>
      <c r="P5" s="73"/>
      <c r="Q5" s="76">
        <v>0</v>
      </c>
      <c r="R5" s="77"/>
      <c r="S5" s="8">
        <v>46321</v>
      </c>
    </row>
    <row r="6" spans="2:19" ht="7.5" customHeight="1" thickBot="1" x14ac:dyDescent="0.3"/>
    <row r="7" spans="2:19" ht="16.5" customHeight="1" x14ac:dyDescent="0.25">
      <c r="B7" s="52" t="s">
        <v>6</v>
      </c>
      <c r="C7" s="54" t="s">
        <v>42</v>
      </c>
      <c r="D7" s="56" t="s">
        <v>7</v>
      </c>
      <c r="E7" s="57"/>
      <c r="F7" s="57"/>
      <c r="G7" s="58"/>
      <c r="H7" s="59" t="s">
        <v>8</v>
      </c>
      <c r="I7" s="60"/>
      <c r="J7" s="61" t="s">
        <v>9</v>
      </c>
      <c r="K7" s="62"/>
      <c r="L7" s="63" t="s">
        <v>10</v>
      </c>
      <c r="M7" s="64"/>
      <c r="N7" s="64"/>
      <c r="O7" s="49"/>
      <c r="P7" s="44" t="s">
        <v>11</v>
      </c>
      <c r="Q7" s="46" t="s">
        <v>12</v>
      </c>
      <c r="R7" s="48" t="s">
        <v>13</v>
      </c>
      <c r="S7" s="49"/>
    </row>
    <row r="8" spans="2:19" ht="16.5" customHeight="1" x14ac:dyDescent="0.25">
      <c r="B8" s="53"/>
      <c r="C8" s="55"/>
      <c r="D8" s="10" t="s">
        <v>14</v>
      </c>
      <c r="E8" s="11" t="s">
        <v>15</v>
      </c>
      <c r="F8" s="11" t="s">
        <v>16</v>
      </c>
      <c r="G8" s="12" t="s">
        <v>9</v>
      </c>
      <c r="H8" s="9" t="s">
        <v>17</v>
      </c>
      <c r="I8" s="12" t="s">
        <v>18</v>
      </c>
      <c r="J8" s="13" t="s">
        <v>19</v>
      </c>
      <c r="K8" s="13" t="s">
        <v>20</v>
      </c>
      <c r="L8" s="9" t="s">
        <v>21</v>
      </c>
      <c r="M8" s="11" t="s">
        <v>22</v>
      </c>
      <c r="N8" s="11" t="s">
        <v>23</v>
      </c>
      <c r="O8" s="12" t="s">
        <v>24</v>
      </c>
      <c r="P8" s="45"/>
      <c r="Q8" s="47"/>
      <c r="R8" s="14" t="s">
        <v>25</v>
      </c>
      <c r="S8" s="12" t="s">
        <v>26</v>
      </c>
    </row>
    <row r="9" spans="2:19" ht="30.75" customHeight="1" x14ac:dyDescent="0.25">
      <c r="B9" s="15" t="s">
        <v>41</v>
      </c>
      <c r="C9" s="16">
        <v>1</v>
      </c>
      <c r="D9" s="17" t="s">
        <v>27</v>
      </c>
      <c r="E9" s="18">
        <v>0.29166666666666669</v>
      </c>
      <c r="F9" s="18">
        <v>0.30694444444444446</v>
      </c>
      <c r="G9" s="19">
        <f>F9-E9</f>
        <v>1.5277777777777779E-2</v>
      </c>
      <c r="H9" s="20"/>
      <c r="I9" s="21" t="s">
        <v>28</v>
      </c>
      <c r="J9" s="22">
        <f>IF(H9="X",G9,0)</f>
        <v>0</v>
      </c>
      <c r="K9" s="22">
        <f>IF(I9="X",G9,0)</f>
        <v>1.5277777777777779E-2</v>
      </c>
      <c r="L9" s="23" t="s">
        <v>29</v>
      </c>
      <c r="M9" s="24"/>
      <c r="N9" s="24"/>
      <c r="O9" s="25"/>
      <c r="P9" s="26">
        <v>1.5277777777777777E-2</v>
      </c>
      <c r="Q9" s="27">
        <f>G9-P9</f>
        <v>0</v>
      </c>
      <c r="R9" s="28" t="s">
        <v>44</v>
      </c>
      <c r="S9" s="29" t="s">
        <v>30</v>
      </c>
    </row>
    <row r="10" spans="2:19" ht="30.75" customHeight="1" x14ac:dyDescent="0.25">
      <c r="B10" s="15"/>
      <c r="C10" s="16"/>
      <c r="D10" s="17" t="s">
        <v>31</v>
      </c>
      <c r="E10" s="18">
        <v>0.30694444444444446</v>
      </c>
      <c r="F10" s="18">
        <v>0.34513888888888888</v>
      </c>
      <c r="G10" s="19">
        <f>F10-E10</f>
        <v>3.819444444444442E-2</v>
      </c>
      <c r="H10" s="20" t="s">
        <v>28</v>
      </c>
      <c r="I10" s="21"/>
      <c r="J10" s="22">
        <f>IF(H10="X",G10,0)</f>
        <v>3.819444444444442E-2</v>
      </c>
      <c r="K10" s="22">
        <f>IF(I10="X",G10,0)</f>
        <v>0</v>
      </c>
      <c r="L10" s="23" t="s">
        <v>29</v>
      </c>
      <c r="M10" s="24"/>
      <c r="N10" s="24"/>
      <c r="O10" s="25"/>
      <c r="P10" s="26">
        <v>3.8194444444444448E-2</v>
      </c>
      <c r="Q10" s="27">
        <f>G10-P10</f>
        <v>0</v>
      </c>
      <c r="R10" s="28"/>
      <c r="S10" s="29"/>
    </row>
    <row r="11" spans="2:19" ht="30.75" customHeight="1" x14ac:dyDescent="0.25">
      <c r="B11" s="15"/>
      <c r="C11" s="16"/>
      <c r="D11" s="30" t="s">
        <v>32</v>
      </c>
      <c r="E11" s="18">
        <v>0.34513888888888888</v>
      </c>
      <c r="F11" s="18">
        <v>0.37013888888888891</v>
      </c>
      <c r="G11" s="19">
        <f t="shared" ref="G11:G20" si="0">F11-E11</f>
        <v>2.5000000000000022E-2</v>
      </c>
      <c r="H11" s="32" t="s">
        <v>28</v>
      </c>
      <c r="I11" s="33"/>
      <c r="J11" s="22">
        <f t="shared" ref="J11:J20" si="1">IF(H11="X",G11,0)</f>
        <v>2.5000000000000022E-2</v>
      </c>
      <c r="K11" s="22">
        <f t="shared" ref="K11:K20" si="2">IF(I11="X",G11,0)</f>
        <v>0</v>
      </c>
      <c r="L11" s="23" t="s">
        <v>29</v>
      </c>
      <c r="M11" s="24"/>
      <c r="N11" s="24"/>
      <c r="O11" s="25"/>
      <c r="P11" s="26">
        <v>2.5000000000000001E-2</v>
      </c>
      <c r="Q11" s="27">
        <f t="shared" ref="Q11:Q20" si="3">G11-P11</f>
        <v>0</v>
      </c>
      <c r="R11" s="31"/>
      <c r="S11" s="29"/>
    </row>
    <row r="12" spans="2:19" ht="30.75" customHeight="1" x14ac:dyDescent="0.25">
      <c r="B12" s="15"/>
      <c r="C12" s="16"/>
      <c r="D12" s="30" t="s">
        <v>33</v>
      </c>
      <c r="E12" s="34">
        <v>0.37013888888888891</v>
      </c>
      <c r="F12" s="18">
        <v>0.37847222222222221</v>
      </c>
      <c r="G12" s="19">
        <f t="shared" si="0"/>
        <v>8.3333333333333037E-3</v>
      </c>
      <c r="H12" s="32" t="s">
        <v>28</v>
      </c>
      <c r="I12" s="33"/>
      <c r="J12" s="22">
        <f t="shared" si="1"/>
        <v>8.3333333333333037E-3</v>
      </c>
      <c r="K12" s="22">
        <f t="shared" si="2"/>
        <v>0</v>
      </c>
      <c r="L12" s="23"/>
      <c r="M12" s="24"/>
      <c r="N12" s="24" t="s">
        <v>29</v>
      </c>
      <c r="O12" s="25"/>
      <c r="P12" s="26">
        <v>1.3888888888888889E-3</v>
      </c>
      <c r="Q12" s="27">
        <f t="shared" si="3"/>
        <v>6.9444444444444146E-3</v>
      </c>
      <c r="R12" s="31"/>
      <c r="S12" s="29"/>
    </row>
    <row r="13" spans="2:19" ht="30.75" customHeight="1" x14ac:dyDescent="0.25">
      <c r="B13" s="15"/>
      <c r="C13" s="16"/>
      <c r="D13" s="30" t="s">
        <v>34</v>
      </c>
      <c r="E13" s="34">
        <v>0.37847222222222221</v>
      </c>
      <c r="F13" s="18">
        <v>0.39583333333333331</v>
      </c>
      <c r="G13" s="19">
        <f t="shared" si="0"/>
        <v>1.7361111111111105E-2</v>
      </c>
      <c r="H13" s="32" t="s">
        <v>28</v>
      </c>
      <c r="I13" s="33"/>
      <c r="J13" s="22">
        <f t="shared" si="1"/>
        <v>1.7361111111111105E-2</v>
      </c>
      <c r="K13" s="22">
        <f t="shared" si="2"/>
        <v>0</v>
      </c>
      <c r="L13" s="23" t="s">
        <v>29</v>
      </c>
      <c r="M13" s="24"/>
      <c r="N13" s="24"/>
      <c r="O13" s="25"/>
      <c r="P13" s="26">
        <v>1.7361111111111112E-2</v>
      </c>
      <c r="Q13" s="27">
        <f t="shared" si="3"/>
        <v>0</v>
      </c>
      <c r="R13" s="31"/>
      <c r="S13" s="29"/>
    </row>
    <row r="14" spans="2:19" ht="62.25" customHeight="1" x14ac:dyDescent="0.25">
      <c r="B14" s="15"/>
      <c r="C14" s="16"/>
      <c r="D14" s="30" t="s">
        <v>35</v>
      </c>
      <c r="E14" s="18">
        <v>0.39583333333333331</v>
      </c>
      <c r="F14" s="18">
        <v>0.41805555555555557</v>
      </c>
      <c r="G14" s="19">
        <f t="shared" si="0"/>
        <v>2.2222222222222254E-2</v>
      </c>
      <c r="H14" s="32" t="s">
        <v>28</v>
      </c>
      <c r="I14" s="33"/>
      <c r="J14" s="22">
        <f t="shared" si="1"/>
        <v>2.2222222222222254E-2</v>
      </c>
      <c r="K14" s="22">
        <f t="shared" si="2"/>
        <v>0</v>
      </c>
      <c r="L14" s="23"/>
      <c r="M14" s="24"/>
      <c r="N14" s="24" t="s">
        <v>29</v>
      </c>
      <c r="O14" s="25"/>
      <c r="P14" s="26">
        <v>8.3333333333333332E-3</v>
      </c>
      <c r="Q14" s="27">
        <f>G14-P14</f>
        <v>1.3888888888888921E-2</v>
      </c>
      <c r="R14" s="31"/>
      <c r="S14" s="29"/>
    </row>
    <row r="15" spans="2:19" ht="45.75" customHeight="1" x14ac:dyDescent="0.25">
      <c r="B15" s="15"/>
      <c r="C15" s="16"/>
      <c r="D15" s="30" t="s">
        <v>36</v>
      </c>
      <c r="E15" s="18">
        <v>0.4284722222222222</v>
      </c>
      <c r="F15" s="34">
        <v>0.47708333333333336</v>
      </c>
      <c r="G15" s="19">
        <f t="shared" si="0"/>
        <v>4.861111111111116E-2</v>
      </c>
      <c r="H15" s="32" t="s">
        <v>28</v>
      </c>
      <c r="I15" s="33"/>
      <c r="J15" s="22">
        <f t="shared" si="1"/>
        <v>4.861111111111116E-2</v>
      </c>
      <c r="K15" s="22">
        <f t="shared" si="2"/>
        <v>0</v>
      </c>
      <c r="L15" s="23"/>
      <c r="M15" s="24"/>
      <c r="N15" s="24"/>
      <c r="O15" s="25"/>
      <c r="P15" s="26"/>
      <c r="Q15" s="27">
        <f t="shared" si="3"/>
        <v>4.861111111111116E-2</v>
      </c>
      <c r="R15" s="31"/>
      <c r="S15" s="29"/>
    </row>
    <row r="16" spans="2:19" ht="30.75" customHeight="1" x14ac:dyDescent="0.25">
      <c r="B16" s="15"/>
      <c r="C16" s="16"/>
      <c r="D16" s="30" t="s">
        <v>37</v>
      </c>
      <c r="E16" s="18">
        <v>0.47708333333333336</v>
      </c>
      <c r="F16" s="18">
        <v>0.49166666666666664</v>
      </c>
      <c r="G16" s="19">
        <f t="shared" si="0"/>
        <v>1.4583333333333282E-2</v>
      </c>
      <c r="H16" s="32" t="s">
        <v>28</v>
      </c>
      <c r="I16" s="33"/>
      <c r="J16" s="22">
        <f t="shared" si="1"/>
        <v>1.4583333333333282E-2</v>
      </c>
      <c r="K16" s="22">
        <f t="shared" si="2"/>
        <v>0</v>
      </c>
      <c r="L16" s="23"/>
      <c r="M16" s="24"/>
      <c r="N16" s="24"/>
      <c r="O16" s="25"/>
      <c r="P16" s="26"/>
      <c r="Q16" s="27">
        <f t="shared" si="3"/>
        <v>1.4583333333333282E-2</v>
      </c>
      <c r="R16" s="31"/>
      <c r="S16" s="29"/>
    </row>
    <row r="17" spans="2:19" ht="30.75" customHeight="1" x14ac:dyDescent="0.25">
      <c r="B17" s="15"/>
      <c r="C17" s="16"/>
      <c r="D17" s="30" t="s">
        <v>38</v>
      </c>
      <c r="E17" s="18">
        <v>0.49166666666666664</v>
      </c>
      <c r="F17" s="18">
        <v>0.57291666666666663</v>
      </c>
      <c r="G17" s="19">
        <f t="shared" si="0"/>
        <v>8.1249999999999989E-2</v>
      </c>
      <c r="H17" s="32"/>
      <c r="I17" s="33" t="s">
        <v>28</v>
      </c>
      <c r="J17" s="22">
        <f t="shared" si="1"/>
        <v>0</v>
      </c>
      <c r="K17" s="22">
        <f t="shared" si="2"/>
        <v>8.1249999999999989E-2</v>
      </c>
      <c r="L17" s="23"/>
      <c r="M17" s="24"/>
      <c r="N17" s="24" t="s">
        <v>29</v>
      </c>
      <c r="O17" s="25"/>
      <c r="P17" s="26">
        <v>3.9583333333333331E-2</v>
      </c>
      <c r="Q17" s="27">
        <f t="shared" si="3"/>
        <v>4.1666666666666657E-2</v>
      </c>
      <c r="R17" s="31"/>
      <c r="S17" s="29"/>
    </row>
    <row r="18" spans="2:19" ht="30.75" customHeight="1" x14ac:dyDescent="0.25">
      <c r="B18" s="15"/>
      <c r="C18" s="16"/>
      <c r="D18" s="30" t="s">
        <v>39</v>
      </c>
      <c r="E18" s="18">
        <v>0.57291666666666663</v>
      </c>
      <c r="F18" s="18">
        <v>0.58472222222222225</v>
      </c>
      <c r="G18" s="19">
        <f t="shared" si="0"/>
        <v>1.1805555555555625E-2</v>
      </c>
      <c r="H18" s="32" t="s">
        <v>28</v>
      </c>
      <c r="I18" s="33"/>
      <c r="J18" s="22">
        <f t="shared" si="1"/>
        <v>1.1805555555555625E-2</v>
      </c>
      <c r="K18" s="22"/>
      <c r="L18" s="23"/>
      <c r="M18" s="24"/>
      <c r="N18" s="24"/>
      <c r="O18" s="25"/>
      <c r="P18" s="26"/>
      <c r="Q18" s="27">
        <f t="shared" si="3"/>
        <v>1.1805555555555625E-2</v>
      </c>
      <c r="R18" s="31"/>
      <c r="S18" s="29"/>
    </row>
    <row r="19" spans="2:19" ht="45.75" customHeight="1" x14ac:dyDescent="0.25">
      <c r="B19" s="15"/>
      <c r="C19" s="16"/>
      <c r="D19" s="30" t="s">
        <v>36</v>
      </c>
      <c r="E19" s="18">
        <v>0.58472222222222225</v>
      </c>
      <c r="F19" s="18">
        <v>0.64027777777777772</v>
      </c>
      <c r="G19" s="19">
        <f t="shared" si="0"/>
        <v>5.5555555555555469E-2</v>
      </c>
      <c r="H19" s="20" t="s">
        <v>28</v>
      </c>
      <c r="I19" s="33"/>
      <c r="J19" s="22">
        <f t="shared" si="1"/>
        <v>5.5555555555555469E-2</v>
      </c>
      <c r="K19" s="22">
        <f t="shared" si="2"/>
        <v>0</v>
      </c>
      <c r="L19" s="23"/>
      <c r="M19" s="24"/>
      <c r="N19" s="24"/>
      <c r="O19" s="25"/>
      <c r="P19" s="26"/>
      <c r="Q19" s="27">
        <f t="shared" si="3"/>
        <v>5.5555555555555469E-2</v>
      </c>
      <c r="R19" s="31"/>
      <c r="S19" s="29"/>
    </row>
    <row r="20" spans="2:19" ht="25.5" x14ac:dyDescent="0.25">
      <c r="B20" s="15"/>
      <c r="C20" s="16"/>
      <c r="D20" s="30" t="s">
        <v>40</v>
      </c>
      <c r="E20" s="18">
        <v>0.64027777777777772</v>
      </c>
      <c r="F20" s="18">
        <v>0.68055555555555558</v>
      </c>
      <c r="G20" s="19">
        <f t="shared" si="0"/>
        <v>4.0277777777777857E-2</v>
      </c>
      <c r="H20" s="20" t="s">
        <v>28</v>
      </c>
      <c r="I20" s="33"/>
      <c r="J20" s="22">
        <f t="shared" si="1"/>
        <v>4.0277777777777857E-2</v>
      </c>
      <c r="K20" s="22">
        <f t="shared" si="2"/>
        <v>0</v>
      </c>
      <c r="L20" s="23" t="s">
        <v>29</v>
      </c>
      <c r="M20" s="24"/>
      <c r="N20" s="24"/>
      <c r="O20" s="25"/>
      <c r="P20" s="26">
        <v>4.027777777777778E-2</v>
      </c>
      <c r="Q20" s="27">
        <f t="shared" si="3"/>
        <v>7.6327832942979512E-17</v>
      </c>
      <c r="R20" s="31"/>
      <c r="S20" s="29"/>
    </row>
    <row r="21" spans="2:19" s="35" customFormat="1" x14ac:dyDescent="0.25">
      <c r="C21" s="36"/>
      <c r="D21" s="37"/>
      <c r="E21" s="38"/>
      <c r="F21" s="39"/>
      <c r="G21" s="40">
        <f>SUBTOTAL(9,G9:G20)</f>
        <v>0.37847222222222227</v>
      </c>
      <c r="J21" s="41">
        <f>SUBTOTAL(9,J9:J20)</f>
        <v>0.2819444444444445</v>
      </c>
      <c r="K21" s="41">
        <f>SUBTOTAL(9,K9:K20)</f>
        <v>9.6527777777777768E-2</v>
      </c>
      <c r="P21" s="42">
        <f>SUM(P9:P20)</f>
        <v>0.18541666666666665</v>
      </c>
      <c r="Q21" s="42">
        <f>SUM(Q9:Q20)</f>
        <v>0.19305555555555562</v>
      </c>
    </row>
    <row r="22" spans="2:19" x14ac:dyDescent="0.25">
      <c r="Q22" s="43">
        <f>1-(Q21/G21)</f>
        <v>0.48990825688073381</v>
      </c>
    </row>
  </sheetData>
  <autoFilter ref="B8:S20" xr:uid="{00000000-0001-0000-0200-000000000000}"/>
  <mergeCells count="17">
    <mergeCell ref="B2:S2"/>
    <mergeCell ref="B4:G5"/>
    <mergeCell ref="J4:P4"/>
    <mergeCell ref="Q4:R4"/>
    <mergeCell ref="J5:P5"/>
    <mergeCell ref="Q5:R5"/>
    <mergeCell ref="H5:I5"/>
    <mergeCell ref="P7:P8"/>
    <mergeCell ref="Q7:Q8"/>
    <mergeCell ref="R7:S7"/>
    <mergeCell ref="H4:I4"/>
    <mergeCell ref="B7:B8"/>
    <mergeCell ref="C7:C8"/>
    <mergeCell ref="D7:G7"/>
    <mergeCell ref="H7:I7"/>
    <mergeCell ref="J7:K7"/>
    <mergeCell ref="L7:O7"/>
  </mergeCells>
  <conditionalFormatting sqref="G9:G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1">
    <dataValidation type="list" allowBlank="1" showInputMessage="1" showErrorMessage="1" sqref="H9:I20" xr:uid="{4C498FF4-6D2D-4391-A3AD-357B39CF39C8}">
      <formula1>"x"</formula1>
    </dataValidation>
  </dataValidations>
  <pageMargins left="0.511811024" right="0.511811024" top="0.78740157499999996" bottom="0.78740157499999996" header="0.31496062000000002" footer="0.31496062000000002"/>
  <pageSetup paperSize="8" orientation="landscape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C0347CA2A71044BD447A075D13E785" ma:contentTypeVersion="17" ma:contentTypeDescription="Crie um novo documento." ma:contentTypeScope="" ma:versionID="bfc1cc60fb084ab3f987ebb405a14a38">
  <xsd:schema xmlns:xsd="http://www.w3.org/2001/XMLSchema" xmlns:xs="http://www.w3.org/2001/XMLSchema" xmlns:p="http://schemas.microsoft.com/office/2006/metadata/properties" xmlns:ns1="http://schemas.microsoft.com/sharepoint/v3" xmlns:ns2="a500337c-5a12-4c3d-a53b-3fd306af667e" xmlns:ns3="256e9d1b-3a53-44e3-93ff-dc23f78ae767" targetNamespace="http://schemas.microsoft.com/office/2006/metadata/properties" ma:root="true" ma:fieldsID="23578ba729e4554a412bc57b052dfb0c" ns1:_="" ns2:_="" ns3:_="">
    <xsd:import namespace="http://schemas.microsoft.com/sharepoint/v3"/>
    <xsd:import namespace="a500337c-5a12-4c3d-a53b-3fd306af667e"/>
    <xsd:import namespace="256e9d1b-3a53-44e3-93ff-dc23f78ae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0337c-5a12-4c3d-a53b-3fd306af6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e9d1b-3a53-44e3-93ff-dc23f78ae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e8117b-7213-42a1-b377-3febf4cc86fe}" ma:internalName="TaxCatchAll" ma:showField="CatchAllData" ma:web="256e9d1b-3a53-44e3-93ff-dc23f78ae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00337c-5a12-4c3d-a53b-3fd306af667e">
      <Terms xmlns="http://schemas.microsoft.com/office/infopath/2007/PartnerControls"/>
    </lcf76f155ced4ddcb4097134ff3c332f>
    <TaxCatchAll xmlns="256e9d1b-3a53-44e3-93ff-dc23f78ae76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2B3601-6344-4034-AD84-24772C1A99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0337c-5a12-4c3d-a53b-3fd306af667e"/>
    <ds:schemaRef ds:uri="256e9d1b-3a53-44e3-93ff-dc23f78ae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39ABF4-9CC8-4986-9B9F-6A524DC46E06}">
  <ds:schemaRefs>
    <ds:schemaRef ds:uri="http://schemas.microsoft.com/office/2006/metadata/properties"/>
    <ds:schemaRef ds:uri="http://schemas.microsoft.com/office/infopath/2007/PartnerControls"/>
    <ds:schemaRef ds:uri="a500337c-5a12-4c3d-a53b-3fd306af667e"/>
    <ds:schemaRef ds:uri="256e9d1b-3a53-44e3-93ff-dc23f78ae76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C25D642-6116-4F09-821C-77A40776B63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ESTRADA</vt:lpstr>
    </vt:vector>
  </TitlesOfParts>
  <Manager/>
  <Company>Vale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Calmon</dc:creator>
  <cp:keywords/>
  <dc:description/>
  <cp:lastModifiedBy>Leonardo Manzoli</cp:lastModifiedBy>
  <cp:revision/>
  <dcterms:created xsi:type="dcterms:W3CDTF">2025-08-20T19:36:09Z</dcterms:created>
  <dcterms:modified xsi:type="dcterms:W3CDTF">2026-07-01T22:46:09Z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0x0101007DC0347CA2A71044BD447A075D13E785</vt:lpwstr>
  </property>
  <property fmtid="{D5CDD505-2E9C-101B-9397-08002B2CF9AE}" pid="3" name="MediaServiceImageTags">
    <vt:lpwstr/>
  </property>
</Properties>
</file>